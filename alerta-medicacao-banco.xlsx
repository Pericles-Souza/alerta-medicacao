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Medicamentos e Horários" sheetId="2" state="visible" r:id="rId2"/>
    <sheet xmlns:r="http://schemas.openxmlformats.org/officeDocument/2006/relationships" name="Histórico de Envio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D4EFCC"/>
      </patternFill>
    </fill>
    <fill>
      <patternFill patternType="solid">
        <fgColor rgb="00FDDADA"/>
      </patternFill>
    </fill>
    <fill>
      <patternFill patternType="solid">
        <fgColor rgb="000C4E54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cientes" displayName="Pacientes" ref="B5:J15" headerRowCount="1">
  <autoFilter ref="B5:J15"/>
  <tableColumns count="9">
    <tableColumn id="2" name="ID"/>
    <tableColumn id="3" name="Nome do Paciente"/>
    <tableColumn id="4" name="Responsável"/>
    <tableColumn id="5" name="Telefone/WhatsApp"/>
    <tableColumn id="6" name="Cidade"/>
    <tableColumn id="7" name="Estado"/>
    <tableColumn id="8" name="Idade"/>
    <tableColumn id="9" name="Condição"/>
    <tableColumn id="10" name="Status"/>
  </tableColumns>
  <tableStyleInfo name="TableStyleMedium2" showRowStripes="1"/>
</table>
</file>

<file path=xl/tables/table2.xml><?xml version="1.0" encoding="utf-8"?>
<table xmlns="http://schemas.openxmlformats.org/spreadsheetml/2006/main" id="2" name="Medicamentos" displayName="Medicamentos" ref="B5:M19" headerRowCount="1">
  <autoFilter ref="B5:M19"/>
  <tableColumns count="12">
    <tableColumn id="2" name="ID Alerta"/>
    <tableColumn id="3" name="ID Paciente"/>
    <tableColumn id="4" name="Paciente"/>
    <tableColumn id="5" name="Medicamento"/>
    <tableColumn id="6" name="Dose"/>
    <tableColumn id="7" name="Frequência"/>
    <tableColumn id="8" name="Horário 1"/>
    <tableColumn id="9" name="Horário 2"/>
    <tableColumn id="10" name="Horário 3"/>
    <tableColumn id="11" name="Canal"/>
    <tableColumn id="12" name="Voz"/>
    <tableColumn id="13" name="Status"/>
  </tableColumns>
  <tableStyleInfo name="TableStyleMedium2" showRowStripes="1"/>
</table>
</file>

<file path=xl/tables/table3.xml><?xml version="1.0" encoding="utf-8"?>
<table xmlns="http://schemas.openxmlformats.org/spreadsheetml/2006/main" id="3" name="Historico" displayName="Historico" ref="B5:J18" headerRowCount="1">
  <autoFilter ref="B5:J18"/>
  <tableColumns count="9">
    <tableColumn id="2" name="Data/Hora"/>
    <tableColumn id="3" name="ID Alerta"/>
    <tableColumn id="4" name="Paciente"/>
    <tableColumn id="5" name="Medicamento"/>
    <tableColumn id="6" name="Canal"/>
    <tableColumn id="7" name="Status Envio"/>
    <tableColumn id="8" name="Confirmado?"/>
    <tableColumn id="9" name="Resposta"/>
    <tableColumn id="10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18" customWidth="1" min="5" max="5"/>
    <col width="16" customWidth="1" min="6" max="6"/>
    <col width="7" customWidth="1" min="7" max="7"/>
    <col width="7" customWidth="1" min="8" max="8"/>
    <col width="22" customWidth="1" min="9" max="9"/>
    <col width="10" customWidth="1" min="10" max="10"/>
  </cols>
  <sheetData>
    <row r="2" ht="28" customHeight="1">
      <c r="B2" s="1" t="inlineStr">
        <is>
          <t>Alerta de Medicação — Cadastro de Pacientes</t>
        </is>
      </c>
    </row>
    <row r="3" ht="16" customHeight="1">
      <c r="B3" s="2" t="inlineStr">
        <is>
          <t>Gerado em: 18/04/2026  |  Versão MVP — Fase de Validação</t>
        </is>
      </c>
    </row>
    <row r="5" ht="22" customHeight="1">
      <c r="B5" s="3" t="inlineStr">
        <is>
          <t>ID</t>
        </is>
      </c>
      <c r="C5" s="3" t="inlineStr">
        <is>
          <t>Nome do Paciente</t>
        </is>
      </c>
      <c r="D5" s="3" t="inlineStr">
        <is>
          <t>Responsável</t>
        </is>
      </c>
      <c r="E5" s="3" t="inlineStr">
        <is>
          <t>Telefone/WhatsApp</t>
        </is>
      </c>
      <c r="F5" s="3" t="inlineStr">
        <is>
          <t>Cidade</t>
        </is>
      </c>
      <c r="G5" s="3" t="inlineStr">
        <is>
          <t>Estado</t>
        </is>
      </c>
      <c r="H5" s="3" t="inlineStr">
        <is>
          <t>Idade</t>
        </is>
      </c>
      <c r="I5" s="3" t="inlineStr">
        <is>
          <t>Condição</t>
        </is>
      </c>
      <c r="J5" s="3" t="inlineStr">
        <is>
          <t>Status</t>
        </is>
      </c>
    </row>
    <row r="6" ht="18" customHeight="1">
      <c r="B6" s="4" t="inlineStr">
        <is>
          <t>P001</t>
        </is>
      </c>
      <c r="C6" s="5" t="inlineStr">
        <is>
          <t>Maria Aparecida Silva</t>
        </is>
      </c>
      <c r="D6" s="5" t="inlineStr">
        <is>
          <t>João Silva</t>
        </is>
      </c>
      <c r="E6" s="5" t="inlineStr">
        <is>
          <t>(83) 99999-1111</t>
        </is>
      </c>
      <c r="F6" s="5" t="inlineStr">
        <is>
          <t>João Pessoa</t>
        </is>
      </c>
      <c r="G6" s="4" t="inlineStr">
        <is>
          <t>PB</t>
        </is>
      </c>
      <c r="H6" s="5" t="n">
        <v>72</v>
      </c>
      <c r="I6" s="4" t="inlineStr">
        <is>
          <t>Hipertensão</t>
        </is>
      </c>
      <c r="J6" s="5" t="inlineStr">
        <is>
          <t>Ativo</t>
        </is>
      </c>
    </row>
    <row r="7" ht="18" customHeight="1">
      <c r="B7" s="4" t="inlineStr">
        <is>
          <t>P002</t>
        </is>
      </c>
      <c r="C7" s="5" t="inlineStr">
        <is>
          <t>Antônio José Souza</t>
        </is>
      </c>
      <c r="D7" s="5" t="inlineStr">
        <is>
          <t>Ana Souza</t>
        </is>
      </c>
      <c r="E7" s="5" t="inlineStr">
        <is>
          <t>(83) 98888-2222</t>
        </is>
      </c>
      <c r="F7" s="5" t="inlineStr">
        <is>
          <t>Campina Grande</t>
        </is>
      </c>
      <c r="G7" s="4" t="inlineStr">
        <is>
          <t>PB</t>
        </is>
      </c>
      <c r="H7" s="5" t="n">
        <v>68</v>
      </c>
      <c r="I7" s="4" t="inlineStr">
        <is>
          <t>Diabetes Tipo 2</t>
        </is>
      </c>
      <c r="J7" s="5" t="inlineStr">
        <is>
          <t>Ativo</t>
        </is>
      </c>
    </row>
    <row r="8" ht="18" customHeight="1">
      <c r="B8" s="4" t="inlineStr">
        <is>
          <t>P003</t>
        </is>
      </c>
      <c r="C8" s="5" t="inlineStr">
        <is>
          <t>Ana Lima Ferreira</t>
        </is>
      </c>
      <c r="D8" s="5" t="inlineStr">
        <is>
          <t>Carlos Lima</t>
        </is>
      </c>
      <c r="E8" s="5" t="inlineStr">
        <is>
          <t>(84) 97777-3333</t>
        </is>
      </c>
      <c r="F8" s="5" t="inlineStr">
        <is>
          <t>Natal</t>
        </is>
      </c>
      <c r="G8" s="4" t="inlineStr">
        <is>
          <t>RN</t>
        </is>
      </c>
      <c r="H8" s="5" t="n">
        <v>81</v>
      </c>
      <c r="I8" s="4" t="inlineStr">
        <is>
          <t>Arritmia Cardíaca</t>
        </is>
      </c>
      <c r="J8" s="5" t="inlineStr">
        <is>
          <t>Ativo</t>
        </is>
      </c>
    </row>
    <row r="9" ht="18" customHeight="1">
      <c r="B9" s="4" t="inlineStr">
        <is>
          <t>P004</t>
        </is>
      </c>
      <c r="C9" s="5" t="inlineStr">
        <is>
          <t>José Carlos Oliveira</t>
        </is>
      </c>
      <c r="D9" s="5" t="inlineStr">
        <is>
          <t>Maria Oliveira</t>
        </is>
      </c>
      <c r="E9" s="5" t="inlineStr">
        <is>
          <t>(83) 96666-4444</t>
        </is>
      </c>
      <c r="F9" s="5" t="inlineStr">
        <is>
          <t>João Pessoa</t>
        </is>
      </c>
      <c r="G9" s="4" t="inlineStr">
        <is>
          <t>PB</t>
        </is>
      </c>
      <c r="H9" s="5" t="n">
        <v>55</v>
      </c>
      <c r="I9" s="4" t="inlineStr">
        <is>
          <t>Hipertensão + Diabetes</t>
        </is>
      </c>
      <c r="J9" s="5" t="inlineStr">
        <is>
          <t>Ativo</t>
        </is>
      </c>
    </row>
    <row r="10" ht="18" customHeight="1">
      <c r="B10" s="4" t="inlineStr">
        <is>
          <t>P005</t>
        </is>
      </c>
      <c r="C10" s="5" t="inlineStr">
        <is>
          <t>Francisca Nunes Costa</t>
        </is>
      </c>
      <c r="D10" s="5" t="inlineStr">
        <is>
          <t>Pedro Costa</t>
        </is>
      </c>
      <c r="E10" s="5" t="inlineStr">
        <is>
          <t>(85) 95555-5555</t>
        </is>
      </c>
      <c r="F10" s="5" t="inlineStr">
        <is>
          <t>Fortaleza</t>
        </is>
      </c>
      <c r="G10" s="4" t="inlineStr">
        <is>
          <t>CE</t>
        </is>
      </c>
      <c r="H10" s="5" t="n">
        <v>74</v>
      </c>
      <c r="I10" s="4" t="inlineStr">
        <is>
          <t>Hipotireoidismo</t>
        </is>
      </c>
      <c r="J10" s="5" t="inlineStr">
        <is>
          <t>Ativo</t>
        </is>
      </c>
    </row>
    <row r="11" ht="18" customHeight="1">
      <c r="B11" s="4" t="inlineStr">
        <is>
          <t>P006</t>
        </is>
      </c>
      <c r="C11" s="5" t="inlineStr">
        <is>
          <t>Raimundo Alves Pereira</t>
        </is>
      </c>
      <c r="D11" s="5" t="inlineStr">
        <is>
          <t>Lúcia Pereira</t>
        </is>
      </c>
      <c r="E11" s="5" t="inlineStr">
        <is>
          <t>(83) 94444-6666</t>
        </is>
      </c>
      <c r="F11" s="5" t="inlineStr">
        <is>
          <t>Patos</t>
        </is>
      </c>
      <c r="G11" s="4" t="inlineStr">
        <is>
          <t>PB</t>
        </is>
      </c>
      <c r="H11" s="5" t="n">
        <v>63</v>
      </c>
      <c r="I11" s="4" t="inlineStr">
        <is>
          <t>Parkinson</t>
        </is>
      </c>
      <c r="J11" s="5" t="inlineStr">
        <is>
          <t>Em teste</t>
        </is>
      </c>
    </row>
    <row r="12" ht="18" customHeight="1">
      <c r="B12" s="4" t="inlineStr">
        <is>
          <t>P007</t>
        </is>
      </c>
      <c r="C12" s="5" t="inlineStr">
        <is>
          <t>Benedita Santos Gomes</t>
        </is>
      </c>
      <c r="D12" s="5" t="inlineStr">
        <is>
          <t>Paulo Gomes</t>
        </is>
      </c>
      <c r="E12" s="5" t="inlineStr">
        <is>
          <t>(83) 93333-7777</t>
        </is>
      </c>
      <c r="F12" s="5" t="inlineStr">
        <is>
          <t>Cajazeiras</t>
        </is>
      </c>
      <c r="G12" s="4" t="inlineStr">
        <is>
          <t>PB</t>
        </is>
      </c>
      <c r="H12" s="5" t="n">
        <v>79</v>
      </c>
      <c r="I12" s="4" t="inlineStr">
        <is>
          <t>Alzheimer leve</t>
        </is>
      </c>
      <c r="J12" s="5" t="inlineStr">
        <is>
          <t>Em teste</t>
        </is>
      </c>
    </row>
    <row r="13" ht="18" customHeight="1">
      <c r="B13" s="4" t="inlineStr">
        <is>
          <t>P008</t>
        </is>
      </c>
      <c r="C13" s="5" t="inlineStr">
        <is>
          <t>Severino Moura Lins</t>
        </is>
      </c>
      <c r="D13" s="5" t="inlineStr">
        <is>
          <t>Carla Lins</t>
        </is>
      </c>
      <c r="E13" s="5" t="inlineStr">
        <is>
          <t>(81) 92222-8888</t>
        </is>
      </c>
      <c r="F13" s="5" t="inlineStr">
        <is>
          <t>Recife</t>
        </is>
      </c>
      <c r="G13" s="4" t="inlineStr">
        <is>
          <t>PE</t>
        </is>
      </c>
      <c r="H13" s="5" t="n">
        <v>58</v>
      </c>
      <c r="I13" s="4" t="inlineStr">
        <is>
          <t>Insuficiência Cardíaca</t>
        </is>
      </c>
      <c r="J13" s="5" t="inlineStr">
        <is>
          <t>Ativo</t>
        </is>
      </c>
    </row>
    <row r="14" ht="18" customHeight="1">
      <c r="B14" s="4" t="inlineStr">
        <is>
          <t>P009</t>
        </is>
      </c>
      <c r="C14" s="5" t="inlineStr">
        <is>
          <t>Teresinha Cruz Barros</t>
        </is>
      </c>
      <c r="D14" s="5" t="inlineStr">
        <is>
          <t>Marcos Barros</t>
        </is>
      </c>
      <c r="E14" s="5" t="inlineStr">
        <is>
          <t>(83) 91111-9999</t>
        </is>
      </c>
      <c r="F14" s="5" t="inlineStr">
        <is>
          <t>Sousa</t>
        </is>
      </c>
      <c r="G14" s="4" t="inlineStr">
        <is>
          <t>PB</t>
        </is>
      </c>
      <c r="H14" s="5" t="n">
        <v>70</v>
      </c>
      <c r="I14" s="4" t="inlineStr">
        <is>
          <t>DPOC</t>
        </is>
      </c>
      <c r="J14" s="5" t="inlineStr">
        <is>
          <t>Pausado</t>
        </is>
      </c>
    </row>
    <row r="15" ht="18" customHeight="1">
      <c r="B15" s="4" t="inlineStr">
        <is>
          <t>P010</t>
        </is>
      </c>
      <c r="C15" s="5" t="inlineStr">
        <is>
          <t>Luiz Henrique Matos</t>
        </is>
      </c>
      <c r="D15" s="5" t="inlineStr">
        <is>
          <t>Fernanda Matos</t>
        </is>
      </c>
      <c r="E15" s="5" t="inlineStr">
        <is>
          <t>(82) 90000-1010</t>
        </is>
      </c>
      <c r="F15" s="5" t="inlineStr">
        <is>
          <t>Maceió</t>
        </is>
      </c>
      <c r="G15" s="4" t="inlineStr">
        <is>
          <t>AL</t>
        </is>
      </c>
      <c r="H15" s="5" t="n">
        <v>66</v>
      </c>
      <c r="I15" s="4" t="inlineStr">
        <is>
          <t>Epilepsia</t>
        </is>
      </c>
      <c r="J15" s="5" t="inlineStr">
        <is>
          <t>Ativo</t>
        </is>
      </c>
    </row>
    <row r="17">
      <c r="B17" s="2" t="inlineStr">
        <is>
          <t>Legenda de Status: Ativo = recebendo alertas | Em teste = fase piloto | Pausado = temporariamente suspenso</t>
        </is>
      </c>
    </row>
  </sheetData>
  <mergeCells count="3">
    <mergeCell ref="B17:J17"/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0" customWidth="1" min="3" max="3"/>
    <col width="20" customWidth="1" min="4" max="4"/>
    <col width="24" customWidth="1" min="5" max="5"/>
    <col width="9" customWidth="1" min="6" max="6"/>
    <col width="18" customWidth="1" min="7" max="7"/>
    <col width="9" customWidth="1" min="8" max="8"/>
    <col width="9" customWidth="1" min="9" max="9"/>
    <col width="9" customWidth="1" min="10" max="10"/>
    <col width="22" customWidth="1" min="11" max="11"/>
    <col width="16" customWidth="1" min="12" max="12"/>
    <col width="10" customWidth="1" min="13" max="13"/>
  </cols>
  <sheetData>
    <row r="2" ht="28" customHeight="1">
      <c r="B2" s="1" t="inlineStr">
        <is>
          <t>Alerta de Medicação — Medicamentos e Horários de Alerta</t>
        </is>
      </c>
    </row>
    <row r="3" ht="16" customHeight="1">
      <c r="B3" s="2" t="inlineStr">
        <is>
          <t>Gerado em: 18/04/2026  |  Cada linha = 1 medicamento por paciente</t>
        </is>
      </c>
    </row>
    <row r="5" ht="22" customHeight="1">
      <c r="B5" s="3" t="inlineStr">
        <is>
          <t>ID Alerta</t>
        </is>
      </c>
      <c r="C5" s="3" t="inlineStr">
        <is>
          <t>ID Paciente</t>
        </is>
      </c>
      <c r="D5" s="3" t="inlineStr">
        <is>
          <t>Paciente</t>
        </is>
      </c>
      <c r="E5" s="3" t="inlineStr">
        <is>
          <t>Medicamento</t>
        </is>
      </c>
      <c r="F5" s="3" t="inlineStr">
        <is>
          <t>Dose</t>
        </is>
      </c>
      <c r="G5" s="3" t="inlineStr">
        <is>
          <t>Frequência</t>
        </is>
      </c>
      <c r="H5" s="3" t="inlineStr">
        <is>
          <t>Horário 1</t>
        </is>
      </c>
      <c r="I5" s="3" t="inlineStr">
        <is>
          <t>Horário 2</t>
        </is>
      </c>
      <c r="J5" s="3" t="inlineStr">
        <is>
          <t>Horário 3</t>
        </is>
      </c>
      <c r="K5" s="3" t="inlineStr">
        <is>
          <t>Canal</t>
        </is>
      </c>
      <c r="L5" s="3" t="inlineStr">
        <is>
          <t>Voz</t>
        </is>
      </c>
      <c r="M5" s="3" t="inlineStr">
        <is>
          <t>Status</t>
        </is>
      </c>
    </row>
    <row r="6" ht="18" customHeight="1">
      <c r="B6" s="4" t="inlineStr">
        <is>
          <t>A001</t>
        </is>
      </c>
      <c r="C6" s="5" t="inlineStr">
        <is>
          <t>P001</t>
        </is>
      </c>
      <c r="D6" s="5" t="inlineStr">
        <is>
          <t>Maria Aparecida</t>
        </is>
      </c>
      <c r="E6" s="5" t="inlineStr">
        <is>
          <t>Losartana Potássica</t>
        </is>
      </c>
      <c r="F6" s="5" t="inlineStr">
        <is>
          <t>50mg</t>
        </is>
      </c>
      <c r="G6" s="4" t="inlineStr">
        <is>
          <t>1x ao dia</t>
        </is>
      </c>
      <c r="H6" s="4" t="inlineStr">
        <is>
          <t>07:00</t>
        </is>
      </c>
      <c r="I6" s="4" t="inlineStr"/>
      <c r="J6" s="5" t="inlineStr"/>
      <c r="K6" s="5" t="inlineStr">
        <is>
          <t>WhatsApp+SMS+Áudio</t>
        </is>
      </c>
      <c r="L6" s="5" t="inlineStr">
        <is>
          <t>Feminina suave</t>
        </is>
      </c>
      <c r="M6" s="5" t="inlineStr">
        <is>
          <t>Ativo</t>
        </is>
      </c>
    </row>
    <row r="7" ht="18" customHeight="1">
      <c r="B7" s="4" t="inlineStr">
        <is>
          <t>A002</t>
        </is>
      </c>
      <c r="C7" s="5" t="inlineStr">
        <is>
          <t>P002</t>
        </is>
      </c>
      <c r="D7" s="5" t="inlineStr">
        <is>
          <t>Antônio José</t>
        </is>
      </c>
      <c r="E7" s="5" t="inlineStr">
        <is>
          <t>Metformina</t>
        </is>
      </c>
      <c r="F7" s="5" t="inlineStr">
        <is>
          <t>850mg</t>
        </is>
      </c>
      <c r="G7" s="4" t="inlineStr">
        <is>
          <t>2x ao dia</t>
        </is>
      </c>
      <c r="H7" s="4" t="inlineStr">
        <is>
          <t>07:00</t>
        </is>
      </c>
      <c r="I7" s="4" t="inlineStr">
        <is>
          <t>19:00</t>
        </is>
      </c>
      <c r="J7" s="5" t="inlineStr"/>
      <c r="K7" s="5" t="inlineStr">
        <is>
          <t>WhatsApp+SMS+Áudio</t>
        </is>
      </c>
      <c r="L7" s="5" t="inlineStr">
        <is>
          <t>Masculina clara</t>
        </is>
      </c>
      <c r="M7" s="5" t="inlineStr">
        <is>
          <t>Ativo</t>
        </is>
      </c>
    </row>
    <row r="8" ht="18" customHeight="1">
      <c r="B8" s="4" t="inlineStr">
        <is>
          <t>A003</t>
        </is>
      </c>
      <c r="C8" s="5" t="inlineStr">
        <is>
          <t>P002</t>
        </is>
      </c>
      <c r="D8" s="5" t="inlineStr">
        <is>
          <t>Antônio José</t>
        </is>
      </c>
      <c r="E8" s="5" t="inlineStr">
        <is>
          <t>Glibenclamida</t>
        </is>
      </c>
      <c r="F8" s="5" t="inlineStr">
        <is>
          <t>5mg</t>
        </is>
      </c>
      <c r="G8" s="4" t="inlineStr">
        <is>
          <t>1x ao dia</t>
        </is>
      </c>
      <c r="H8" s="4" t="inlineStr">
        <is>
          <t>12:00</t>
        </is>
      </c>
      <c r="I8" s="4" t="inlineStr"/>
      <c r="J8" s="5" t="inlineStr"/>
      <c r="K8" s="5" t="inlineStr">
        <is>
          <t>WhatsApp</t>
        </is>
      </c>
      <c r="L8" s="5" t="inlineStr">
        <is>
          <t>Masculina clara</t>
        </is>
      </c>
      <c r="M8" s="5" t="inlineStr">
        <is>
          <t>Ativo</t>
        </is>
      </c>
    </row>
    <row r="9" ht="18" customHeight="1">
      <c r="B9" s="4" t="inlineStr">
        <is>
          <t>A004</t>
        </is>
      </c>
      <c r="C9" s="5" t="inlineStr">
        <is>
          <t>P003</t>
        </is>
      </c>
      <c r="D9" s="5" t="inlineStr">
        <is>
          <t>Ana Lima</t>
        </is>
      </c>
      <c r="E9" s="5" t="inlineStr">
        <is>
          <t>Atenolol</t>
        </is>
      </c>
      <c r="F9" s="5" t="inlineStr">
        <is>
          <t>25mg</t>
        </is>
      </c>
      <c r="G9" s="4" t="inlineStr">
        <is>
          <t>1x ao dia</t>
        </is>
      </c>
      <c r="H9" s="4" t="inlineStr">
        <is>
          <t>08:00</t>
        </is>
      </c>
      <c r="I9" s="4" t="inlineStr"/>
      <c r="J9" s="5" t="inlineStr"/>
      <c r="K9" s="5" t="inlineStr">
        <is>
          <t>WhatsApp+Áudio</t>
        </is>
      </c>
      <c r="L9" s="5" t="inlineStr">
        <is>
          <t>Feminina suave</t>
        </is>
      </c>
      <c r="M9" s="5" t="inlineStr">
        <is>
          <t>Ativo</t>
        </is>
      </c>
    </row>
    <row r="10" ht="18" customHeight="1">
      <c r="B10" s="4" t="inlineStr">
        <is>
          <t>A005</t>
        </is>
      </c>
      <c r="C10" s="5" t="inlineStr">
        <is>
          <t>P003</t>
        </is>
      </c>
      <c r="D10" s="5" t="inlineStr">
        <is>
          <t>Ana Lima</t>
        </is>
      </c>
      <c r="E10" s="5" t="inlineStr">
        <is>
          <t>Digoxina</t>
        </is>
      </c>
      <c r="F10" s="5" t="inlineStr">
        <is>
          <t>0,25mg</t>
        </is>
      </c>
      <c r="G10" s="4" t="inlineStr">
        <is>
          <t>1x ao dia</t>
        </is>
      </c>
      <c r="H10" s="4" t="inlineStr">
        <is>
          <t>07:00</t>
        </is>
      </c>
      <c r="I10" s="4" t="inlineStr"/>
      <c r="J10" s="5" t="inlineStr"/>
      <c r="K10" s="5" t="inlineStr">
        <is>
          <t>WhatsApp+SMS+Áudio</t>
        </is>
      </c>
      <c r="L10" s="5" t="inlineStr">
        <is>
          <t>Feminina suave</t>
        </is>
      </c>
      <c r="M10" s="5" t="inlineStr">
        <is>
          <t>Ativo</t>
        </is>
      </c>
    </row>
    <row r="11" ht="18" customHeight="1">
      <c r="B11" s="4" t="inlineStr">
        <is>
          <t>A006</t>
        </is>
      </c>
      <c r="C11" s="5" t="inlineStr">
        <is>
          <t>P004</t>
        </is>
      </c>
      <c r="D11" s="5" t="inlineStr">
        <is>
          <t>José Carlos</t>
        </is>
      </c>
      <c r="E11" s="5" t="inlineStr">
        <is>
          <t>Losartana Potássica</t>
        </is>
      </c>
      <c r="F11" s="5" t="inlineStr">
        <is>
          <t>100mg</t>
        </is>
      </c>
      <c r="G11" s="4" t="inlineStr">
        <is>
          <t>2x ao dia</t>
        </is>
      </c>
      <c r="H11" s="4" t="inlineStr">
        <is>
          <t>07:00</t>
        </is>
      </c>
      <c r="I11" s="4" t="inlineStr">
        <is>
          <t>20:00</t>
        </is>
      </c>
      <c r="J11" s="5" t="inlineStr"/>
      <c r="K11" s="5" t="inlineStr">
        <is>
          <t>WhatsApp+SMS</t>
        </is>
      </c>
      <c r="L11" s="5" t="inlineStr">
        <is>
          <t>Masculina clara</t>
        </is>
      </c>
      <c r="M11" s="5" t="inlineStr">
        <is>
          <t>Ativo</t>
        </is>
      </c>
    </row>
    <row r="12" ht="18" customHeight="1">
      <c r="B12" s="4" t="inlineStr">
        <is>
          <t>A007</t>
        </is>
      </c>
      <c r="C12" s="5" t="inlineStr">
        <is>
          <t>P004</t>
        </is>
      </c>
      <c r="D12" s="5" t="inlineStr">
        <is>
          <t>José Carlos</t>
        </is>
      </c>
      <c r="E12" s="5" t="inlineStr">
        <is>
          <t>Insulina NPH</t>
        </is>
      </c>
      <c r="F12" s="5" t="inlineStr">
        <is>
          <t>10UI</t>
        </is>
      </c>
      <c r="G12" s="4" t="inlineStr">
        <is>
          <t>3x ao dia</t>
        </is>
      </c>
      <c r="H12" s="4" t="inlineStr">
        <is>
          <t>07:00</t>
        </is>
      </c>
      <c r="I12" s="4" t="inlineStr">
        <is>
          <t>12:00</t>
        </is>
      </c>
      <c r="J12" s="5" t="inlineStr">
        <is>
          <t>19:00</t>
        </is>
      </c>
      <c r="K12" s="5" t="inlineStr">
        <is>
          <t>WhatsApp+SMS+Áudio</t>
        </is>
      </c>
      <c r="L12" s="5" t="inlineStr">
        <is>
          <t>Masculina clara</t>
        </is>
      </c>
      <c r="M12" s="5" t="inlineStr">
        <is>
          <t>Ativo</t>
        </is>
      </c>
    </row>
    <row r="13" ht="18" customHeight="1">
      <c r="B13" s="4" t="inlineStr">
        <is>
          <t>A008</t>
        </is>
      </c>
      <c r="C13" s="5" t="inlineStr">
        <is>
          <t>P005</t>
        </is>
      </c>
      <c r="D13" s="5" t="inlineStr">
        <is>
          <t>Francisca Nunes</t>
        </is>
      </c>
      <c r="E13" s="5" t="inlineStr">
        <is>
          <t>Levotiroxina</t>
        </is>
      </c>
      <c r="F13" s="5" t="inlineStr">
        <is>
          <t>75mcg</t>
        </is>
      </c>
      <c r="G13" s="4" t="inlineStr">
        <is>
          <t>1x ao dia</t>
        </is>
      </c>
      <c r="H13" s="4" t="inlineStr">
        <is>
          <t>06:30</t>
        </is>
      </c>
      <c r="I13" s="4" t="inlineStr"/>
      <c r="J13" s="5" t="inlineStr"/>
      <c r="K13" s="5" t="inlineStr">
        <is>
          <t>WhatsApp+SMS</t>
        </is>
      </c>
      <c r="L13" s="5" t="inlineStr">
        <is>
          <t>Feminina suave</t>
        </is>
      </c>
      <c r="M13" s="5" t="inlineStr">
        <is>
          <t>Ativo</t>
        </is>
      </c>
    </row>
    <row r="14" ht="18" customHeight="1">
      <c r="B14" s="4" t="inlineStr">
        <is>
          <t>A009</t>
        </is>
      </c>
      <c r="C14" s="5" t="inlineStr">
        <is>
          <t>P006</t>
        </is>
      </c>
      <c r="D14" s="5" t="inlineStr">
        <is>
          <t>Raimundo Alves</t>
        </is>
      </c>
      <c r="E14" s="5" t="inlineStr">
        <is>
          <t>Levodopa + Benserazida</t>
        </is>
      </c>
      <c r="F14" s="5" t="inlineStr">
        <is>
          <t>200mg</t>
        </is>
      </c>
      <c r="G14" s="4" t="inlineStr">
        <is>
          <t>3x ao dia</t>
        </is>
      </c>
      <c r="H14" s="4" t="inlineStr">
        <is>
          <t>08:00</t>
        </is>
      </c>
      <c r="I14" s="4" t="inlineStr">
        <is>
          <t>14:00</t>
        </is>
      </c>
      <c r="J14" s="5" t="inlineStr">
        <is>
          <t>20:00</t>
        </is>
      </c>
      <c r="K14" s="5" t="inlineStr">
        <is>
          <t>WhatsApp+SMS+Áudio</t>
        </is>
      </c>
      <c r="L14" s="5" t="inlineStr">
        <is>
          <t>Masculina clara</t>
        </is>
      </c>
      <c r="M14" s="5" t="inlineStr">
        <is>
          <t>Em teste</t>
        </is>
      </c>
    </row>
    <row r="15" ht="18" customHeight="1">
      <c r="B15" s="4" t="inlineStr">
        <is>
          <t>A010</t>
        </is>
      </c>
      <c r="C15" s="5" t="inlineStr">
        <is>
          <t>P007</t>
        </is>
      </c>
      <c r="D15" s="5" t="inlineStr">
        <is>
          <t>Benedita Santos</t>
        </is>
      </c>
      <c r="E15" s="5" t="inlineStr">
        <is>
          <t>Donepezila</t>
        </is>
      </c>
      <c r="F15" s="5" t="inlineStr">
        <is>
          <t>5mg</t>
        </is>
      </c>
      <c r="G15" s="4" t="inlineStr">
        <is>
          <t>1x ao dia</t>
        </is>
      </c>
      <c r="H15" s="4" t="inlineStr">
        <is>
          <t>21:00</t>
        </is>
      </c>
      <c r="I15" s="4" t="inlineStr"/>
      <c r="J15" s="5" t="inlineStr"/>
      <c r="K15" s="5" t="inlineStr">
        <is>
          <t>Áudio</t>
        </is>
      </c>
      <c r="L15" s="5" t="inlineStr">
        <is>
          <t>Feminina suave</t>
        </is>
      </c>
      <c r="M15" s="5" t="inlineStr">
        <is>
          <t>Em teste</t>
        </is>
      </c>
    </row>
    <row r="16" ht="18" customHeight="1">
      <c r="B16" s="4" t="inlineStr">
        <is>
          <t>A011</t>
        </is>
      </c>
      <c r="C16" s="5" t="inlineStr">
        <is>
          <t>P008</t>
        </is>
      </c>
      <c r="D16" s="5" t="inlineStr">
        <is>
          <t>Severino Moura</t>
        </is>
      </c>
      <c r="E16" s="5" t="inlineStr">
        <is>
          <t>Furosemida</t>
        </is>
      </c>
      <c r="F16" s="5" t="inlineStr">
        <is>
          <t>40mg</t>
        </is>
      </c>
      <c r="G16" s="4" t="inlineStr">
        <is>
          <t>2x ao dia</t>
        </is>
      </c>
      <c r="H16" s="4" t="inlineStr">
        <is>
          <t>08:00</t>
        </is>
      </c>
      <c r="I16" s="4" t="inlineStr">
        <is>
          <t>14:00</t>
        </is>
      </c>
      <c r="J16" s="5" t="inlineStr"/>
      <c r="K16" s="5" t="inlineStr">
        <is>
          <t>WhatsApp+SMS</t>
        </is>
      </c>
      <c r="L16" s="5" t="inlineStr">
        <is>
          <t>Masculina clara</t>
        </is>
      </c>
      <c r="M16" s="5" t="inlineStr">
        <is>
          <t>Ativo</t>
        </is>
      </c>
    </row>
    <row r="17" ht="18" customHeight="1">
      <c r="B17" s="4" t="inlineStr">
        <is>
          <t>A012</t>
        </is>
      </c>
      <c r="C17" s="5" t="inlineStr">
        <is>
          <t>P008</t>
        </is>
      </c>
      <c r="D17" s="5" t="inlineStr">
        <is>
          <t>Severino Moura</t>
        </is>
      </c>
      <c r="E17" s="5" t="inlineStr">
        <is>
          <t>Espironolactona</t>
        </is>
      </c>
      <c r="F17" s="5" t="inlineStr">
        <is>
          <t>25mg</t>
        </is>
      </c>
      <c r="G17" s="4" t="inlineStr">
        <is>
          <t>1x ao dia</t>
        </is>
      </c>
      <c r="H17" s="4" t="inlineStr">
        <is>
          <t>08:00</t>
        </is>
      </c>
      <c r="I17" s="4" t="inlineStr"/>
      <c r="J17" s="5" t="inlineStr"/>
      <c r="K17" s="5" t="inlineStr">
        <is>
          <t>WhatsApp+SMS</t>
        </is>
      </c>
      <c r="L17" s="5" t="inlineStr">
        <is>
          <t>Masculina clara</t>
        </is>
      </c>
      <c r="M17" s="5" t="inlineStr">
        <is>
          <t>Ativo</t>
        </is>
      </c>
    </row>
    <row r="18" ht="18" customHeight="1">
      <c r="B18" s="4" t="inlineStr">
        <is>
          <t>A013</t>
        </is>
      </c>
      <c r="C18" s="5" t="inlineStr">
        <is>
          <t>P009</t>
        </is>
      </c>
      <c r="D18" s="5" t="inlineStr">
        <is>
          <t>Teresinha Cruz</t>
        </is>
      </c>
      <c r="E18" s="5" t="inlineStr">
        <is>
          <t>Salbutamol (inalador)</t>
        </is>
      </c>
      <c r="F18" s="5" t="inlineStr">
        <is>
          <t>200mcg</t>
        </is>
      </c>
      <c r="G18" s="4" t="inlineStr">
        <is>
          <t>Conforme necessidade</t>
        </is>
      </c>
      <c r="H18" s="4" t="inlineStr">
        <is>
          <t>08:00</t>
        </is>
      </c>
      <c r="I18" s="4" t="inlineStr"/>
      <c r="J18" s="5" t="inlineStr"/>
      <c r="K18" s="5" t="inlineStr">
        <is>
          <t>SMS</t>
        </is>
      </c>
      <c r="L18" s="5" t="inlineStr">
        <is>
          <t>Feminina suave</t>
        </is>
      </c>
      <c r="M18" s="5" t="inlineStr">
        <is>
          <t>Pausado</t>
        </is>
      </c>
    </row>
    <row r="19" ht="18" customHeight="1">
      <c r="B19" s="4" t="inlineStr">
        <is>
          <t>A014</t>
        </is>
      </c>
      <c r="C19" s="5" t="inlineStr">
        <is>
          <t>P010</t>
        </is>
      </c>
      <c r="D19" s="5" t="inlineStr">
        <is>
          <t>Luiz Henrique</t>
        </is>
      </c>
      <c r="E19" s="5" t="inlineStr">
        <is>
          <t>Carbamazepina</t>
        </is>
      </c>
      <c r="F19" s="5" t="inlineStr">
        <is>
          <t>400mg</t>
        </is>
      </c>
      <c r="G19" s="4" t="inlineStr">
        <is>
          <t>2x ao dia</t>
        </is>
      </c>
      <c r="H19" s="4" t="inlineStr">
        <is>
          <t>08:00</t>
        </is>
      </c>
      <c r="I19" s="4" t="inlineStr">
        <is>
          <t>20:00</t>
        </is>
      </c>
      <c r="J19" s="5" t="inlineStr"/>
      <c r="K19" s="5" t="inlineStr">
        <is>
          <t>WhatsApp+SMS+Áudio</t>
        </is>
      </c>
      <c r="L19" s="5" t="inlineStr">
        <is>
          <t>Masculina clara</t>
        </is>
      </c>
      <c r="M19" s="5" t="inlineStr">
        <is>
          <t>Ativo</t>
        </is>
      </c>
    </row>
    <row r="21">
      <c r="B21" s="2" t="inlineStr">
        <is>
          <t>Canal de envio: WhatsApp = msg texto | SMS = mensagem curta | Áudio = voz gerada (acessibilidade)</t>
        </is>
      </c>
    </row>
  </sheetData>
  <mergeCells count="3">
    <mergeCell ref="B2:L2"/>
    <mergeCell ref="B21:M21"/>
    <mergeCell ref="B3:L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9" customWidth="1" min="3" max="3"/>
    <col width="20" customWidth="1" min="4" max="4"/>
    <col width="20" customWidth="1" min="5" max="5"/>
    <col width="9" customWidth="1" min="6" max="6"/>
    <col width="12" customWidth="1" min="7" max="7"/>
    <col width="14" customWidth="1" min="8" max="8"/>
    <col width="16" customWidth="1" min="9" max="9"/>
    <col width="20" customWidth="1" min="10" max="10"/>
  </cols>
  <sheetData>
    <row r="2" ht="28" customHeight="1">
      <c r="B2" s="1" t="inlineStr">
        <is>
          <t>Alerta de Medicação — Histórico de Envios (Simulado)</t>
        </is>
      </c>
    </row>
    <row r="3">
      <c r="B3" s="2" t="inlineStr">
        <is>
          <t>Dados simulados para fase de testes | Preencher com dados reais após integração n8n + Twilio</t>
        </is>
      </c>
    </row>
    <row r="5" ht="22" customHeight="1">
      <c r="B5" s="3" t="inlineStr">
        <is>
          <t>Data/Hora</t>
        </is>
      </c>
      <c r="C5" s="3" t="inlineStr">
        <is>
          <t>ID Alerta</t>
        </is>
      </c>
      <c r="D5" s="3" t="inlineStr">
        <is>
          <t>Paciente</t>
        </is>
      </c>
      <c r="E5" s="3" t="inlineStr">
        <is>
          <t>Medicamento</t>
        </is>
      </c>
      <c r="F5" s="3" t="inlineStr">
        <is>
          <t>Canal</t>
        </is>
      </c>
      <c r="G5" s="3" t="inlineStr">
        <is>
          <t>Status Envio</t>
        </is>
      </c>
      <c r="H5" s="3" t="inlineStr">
        <is>
          <t>Confirmado?</t>
        </is>
      </c>
      <c r="I5" s="3" t="inlineStr">
        <is>
          <t>Resposta</t>
        </is>
      </c>
      <c r="J5" s="3" t="inlineStr">
        <is>
          <t>Observação</t>
        </is>
      </c>
    </row>
    <row r="6" ht="18" customHeight="1">
      <c r="B6" s="4" t="inlineStr">
        <is>
          <t>17/04/2026 07:00</t>
        </is>
      </c>
      <c r="C6" s="5" t="inlineStr">
        <is>
          <t>A001</t>
        </is>
      </c>
      <c r="D6" s="5" t="inlineStr">
        <is>
          <t>Maria Aparecida</t>
        </is>
      </c>
      <c r="E6" s="5" t="inlineStr">
        <is>
          <t>Losartana 50mg</t>
        </is>
      </c>
      <c r="F6" s="4" t="inlineStr">
        <is>
          <t>WhatsApp</t>
        </is>
      </c>
      <c r="G6" s="6" t="inlineStr">
        <is>
          <t>Entregue</t>
        </is>
      </c>
      <c r="H6" s="5" t="inlineStr">
        <is>
          <t>Sim</t>
        </is>
      </c>
      <c r="I6" s="5" t="inlineStr">
        <is>
          <t>👍 Obrigada!</t>
        </is>
      </c>
      <c r="J6" s="5" t="inlineStr"/>
    </row>
    <row r="7" ht="18" customHeight="1">
      <c r="B7" s="4" t="inlineStr">
        <is>
          <t>17/04/2026 07:00</t>
        </is>
      </c>
      <c r="C7" s="5" t="inlineStr">
        <is>
          <t>A001</t>
        </is>
      </c>
      <c r="D7" s="5" t="inlineStr">
        <is>
          <t>Maria Aparecida</t>
        </is>
      </c>
      <c r="E7" s="5" t="inlineStr">
        <is>
          <t>Losartana 50mg</t>
        </is>
      </c>
      <c r="F7" s="4" t="inlineStr">
        <is>
          <t>SMS</t>
        </is>
      </c>
      <c r="G7" s="6" t="inlineStr">
        <is>
          <t>Entregue</t>
        </is>
      </c>
      <c r="H7" s="5" t="inlineStr">
        <is>
          <t>—</t>
        </is>
      </c>
      <c r="I7" s="5" t="inlineStr"/>
      <c r="J7" s="5" t="inlineStr"/>
    </row>
    <row r="8" ht="18" customHeight="1">
      <c r="B8" s="4" t="inlineStr">
        <is>
          <t>17/04/2026 07:00</t>
        </is>
      </c>
      <c r="C8" s="5" t="inlineStr">
        <is>
          <t>A001</t>
        </is>
      </c>
      <c r="D8" s="5" t="inlineStr">
        <is>
          <t>Maria Aparecida</t>
        </is>
      </c>
      <c r="E8" s="5" t="inlineStr">
        <is>
          <t>Losartana 50mg</t>
        </is>
      </c>
      <c r="F8" s="4" t="inlineStr">
        <is>
          <t>Áudio</t>
        </is>
      </c>
      <c r="G8" s="6" t="inlineStr">
        <is>
          <t>Gerado</t>
        </is>
      </c>
      <c r="H8" s="5" t="inlineStr">
        <is>
          <t>—</t>
        </is>
      </c>
      <c r="I8" s="5" t="inlineStr"/>
      <c r="J8" s="5" t="inlineStr"/>
    </row>
    <row r="9" ht="18" customHeight="1">
      <c r="B9" s="4" t="inlineStr">
        <is>
          <t>17/04/2026 07:00</t>
        </is>
      </c>
      <c r="C9" s="5" t="inlineStr">
        <is>
          <t>A002</t>
        </is>
      </c>
      <c r="D9" s="5" t="inlineStr">
        <is>
          <t>Antônio José</t>
        </is>
      </c>
      <c r="E9" s="5" t="inlineStr">
        <is>
          <t>Metformina 850mg</t>
        </is>
      </c>
      <c r="F9" s="4" t="inlineStr">
        <is>
          <t>WhatsApp</t>
        </is>
      </c>
      <c r="G9" s="6" t="inlineStr">
        <is>
          <t>Entregue</t>
        </is>
      </c>
      <c r="H9" s="5" t="inlineStr">
        <is>
          <t>Sim</t>
        </is>
      </c>
      <c r="I9" s="5" t="inlineStr">
        <is>
          <t>Ok</t>
        </is>
      </c>
      <c r="J9" s="5" t="inlineStr"/>
    </row>
    <row r="10" ht="18" customHeight="1">
      <c r="B10" s="4" t="inlineStr">
        <is>
          <t>17/04/2026 07:00</t>
        </is>
      </c>
      <c r="C10" s="5" t="inlineStr">
        <is>
          <t>A005</t>
        </is>
      </c>
      <c r="D10" s="5" t="inlineStr">
        <is>
          <t>Ana Lima</t>
        </is>
      </c>
      <c r="E10" s="5" t="inlineStr">
        <is>
          <t>Digoxina 0,25mg</t>
        </is>
      </c>
      <c r="F10" s="4" t="inlineStr">
        <is>
          <t>WhatsApp</t>
        </is>
      </c>
      <c r="G10" s="6" t="inlineStr">
        <is>
          <t>Entregue</t>
        </is>
      </c>
      <c r="H10" s="5" t="inlineStr">
        <is>
          <t>Não respondeu</t>
        </is>
      </c>
      <c r="I10" s="5" t="inlineStr"/>
      <c r="J10" s="5" t="inlineStr">
        <is>
          <t>Reenviar SMS</t>
        </is>
      </c>
    </row>
    <row r="11" ht="18" customHeight="1">
      <c r="B11" s="4" t="inlineStr">
        <is>
          <t>17/04/2026 08:00</t>
        </is>
      </c>
      <c r="C11" s="5" t="inlineStr">
        <is>
          <t>A004</t>
        </is>
      </c>
      <c r="D11" s="5" t="inlineStr">
        <is>
          <t>Ana Lima</t>
        </is>
      </c>
      <c r="E11" s="5" t="inlineStr">
        <is>
          <t>Atenolol 25mg</t>
        </is>
      </c>
      <c r="F11" s="4" t="inlineStr">
        <is>
          <t>Áudio</t>
        </is>
      </c>
      <c r="G11" s="6" t="inlineStr">
        <is>
          <t>Gerado</t>
        </is>
      </c>
      <c r="H11" s="5" t="inlineStr">
        <is>
          <t>—</t>
        </is>
      </c>
      <c r="I11" s="5" t="inlineStr"/>
      <c r="J11" s="5" t="inlineStr"/>
    </row>
    <row r="12" ht="18" customHeight="1">
      <c r="B12" s="4" t="inlineStr">
        <is>
          <t>17/04/2026 08:00</t>
        </is>
      </c>
      <c r="C12" s="5" t="inlineStr">
        <is>
          <t>A009</t>
        </is>
      </c>
      <c r="D12" s="5" t="inlineStr">
        <is>
          <t>Raimundo Alves</t>
        </is>
      </c>
      <c r="E12" s="5" t="inlineStr">
        <is>
          <t>Levodopa 200mg</t>
        </is>
      </c>
      <c r="F12" s="4" t="inlineStr">
        <is>
          <t>WhatsApp</t>
        </is>
      </c>
      <c r="G12" s="6" t="inlineStr">
        <is>
          <t>Entregue</t>
        </is>
      </c>
      <c r="H12" s="5" t="inlineStr">
        <is>
          <t>Sim</t>
        </is>
      </c>
      <c r="I12" s="5" t="inlineStr">
        <is>
          <t>Tomei ✓</t>
        </is>
      </c>
      <c r="J12" s="5" t="inlineStr">
        <is>
          <t>Teste piloto OK</t>
        </is>
      </c>
    </row>
    <row r="13" ht="18" customHeight="1">
      <c r="B13" s="4" t="inlineStr">
        <is>
          <t>17/04/2026 12:00</t>
        </is>
      </c>
      <c r="C13" s="5" t="inlineStr">
        <is>
          <t>A003</t>
        </is>
      </c>
      <c r="D13" s="5" t="inlineStr">
        <is>
          <t>Antônio José</t>
        </is>
      </c>
      <c r="E13" s="5" t="inlineStr">
        <is>
          <t>Glibenclamida 5mg</t>
        </is>
      </c>
      <c r="F13" s="4" t="inlineStr">
        <is>
          <t>WhatsApp</t>
        </is>
      </c>
      <c r="G13" s="7" t="inlineStr">
        <is>
          <t>Falha</t>
        </is>
      </c>
      <c r="H13" s="5" t="inlineStr">
        <is>
          <t>—</t>
        </is>
      </c>
      <c r="I13" s="5" t="inlineStr"/>
      <c r="J13" s="5" t="inlineStr">
        <is>
          <t>Verificar número</t>
        </is>
      </c>
    </row>
    <row r="14" ht="18" customHeight="1">
      <c r="B14" s="4" t="inlineStr">
        <is>
          <t>17/04/2026 14:00</t>
        </is>
      </c>
      <c r="C14" s="5" t="inlineStr">
        <is>
          <t>A011</t>
        </is>
      </c>
      <c r="D14" s="5" t="inlineStr">
        <is>
          <t>Severino Moura</t>
        </is>
      </c>
      <c r="E14" s="5" t="inlineStr">
        <is>
          <t>Furosemida 40mg</t>
        </is>
      </c>
      <c r="F14" s="4" t="inlineStr">
        <is>
          <t>SMS</t>
        </is>
      </c>
      <c r="G14" s="6" t="inlineStr">
        <is>
          <t>Entregue</t>
        </is>
      </c>
      <c r="H14" s="5" t="inlineStr">
        <is>
          <t>—</t>
        </is>
      </c>
      <c r="I14" s="5" t="inlineStr"/>
      <c r="J14" s="5" t="inlineStr"/>
    </row>
    <row r="15" ht="18" customHeight="1">
      <c r="B15" s="4" t="inlineStr">
        <is>
          <t>17/04/2026 19:00</t>
        </is>
      </c>
      <c r="C15" s="5" t="inlineStr">
        <is>
          <t>A002</t>
        </is>
      </c>
      <c r="D15" s="5" t="inlineStr">
        <is>
          <t>Antônio José</t>
        </is>
      </c>
      <c r="E15" s="5" t="inlineStr">
        <is>
          <t>Metformina 850mg</t>
        </is>
      </c>
      <c r="F15" s="4" t="inlineStr">
        <is>
          <t>WhatsApp</t>
        </is>
      </c>
      <c r="G15" s="6" t="inlineStr">
        <is>
          <t>Entregue</t>
        </is>
      </c>
      <c r="H15" s="5" t="inlineStr">
        <is>
          <t>Sim</t>
        </is>
      </c>
      <c r="I15" s="5" t="inlineStr">
        <is>
          <t>👍</t>
        </is>
      </c>
      <c r="J15" s="5" t="inlineStr"/>
    </row>
    <row r="16" ht="18" customHeight="1">
      <c r="B16" s="4" t="inlineStr">
        <is>
          <t>17/04/2026 20:00</t>
        </is>
      </c>
      <c r="C16" s="5" t="inlineStr">
        <is>
          <t>A006</t>
        </is>
      </c>
      <c r="D16" s="5" t="inlineStr">
        <is>
          <t>José Carlos</t>
        </is>
      </c>
      <c r="E16" s="5" t="inlineStr">
        <is>
          <t>Losartana 100mg</t>
        </is>
      </c>
      <c r="F16" s="4" t="inlineStr">
        <is>
          <t>WhatsApp</t>
        </is>
      </c>
      <c r="G16" s="6" t="inlineStr">
        <is>
          <t>Entregue</t>
        </is>
      </c>
      <c r="H16" s="5" t="inlineStr">
        <is>
          <t>Não respondeu</t>
        </is>
      </c>
      <c r="I16" s="5" t="inlineStr"/>
      <c r="J16" s="5" t="inlineStr"/>
    </row>
    <row r="17" ht="18" customHeight="1">
      <c r="B17" s="4" t="inlineStr">
        <is>
          <t>17/04/2026 20:00</t>
        </is>
      </c>
      <c r="C17" s="5" t="inlineStr">
        <is>
          <t>A014</t>
        </is>
      </c>
      <c r="D17" s="5" t="inlineStr">
        <is>
          <t>Luiz Henrique</t>
        </is>
      </c>
      <c r="E17" s="5" t="inlineStr">
        <is>
          <t>Carbamazepina 400mg</t>
        </is>
      </c>
      <c r="F17" s="4" t="inlineStr">
        <is>
          <t>Áudio</t>
        </is>
      </c>
      <c r="G17" s="6" t="inlineStr">
        <is>
          <t>Gerado</t>
        </is>
      </c>
      <c r="H17" s="5" t="inlineStr">
        <is>
          <t>—</t>
        </is>
      </c>
      <c r="I17" s="5" t="inlineStr"/>
      <c r="J17" s="5" t="inlineStr"/>
    </row>
    <row r="18" ht="18" customHeight="1">
      <c r="B18" s="4" t="inlineStr">
        <is>
          <t>17/04/2026 21:00</t>
        </is>
      </c>
      <c r="C18" s="5" t="inlineStr">
        <is>
          <t>A010</t>
        </is>
      </c>
      <c r="D18" s="5" t="inlineStr">
        <is>
          <t>Benedita Santos</t>
        </is>
      </c>
      <c r="E18" s="5" t="inlineStr">
        <is>
          <t>Donepezila 5mg</t>
        </is>
      </c>
      <c r="F18" s="4" t="inlineStr">
        <is>
          <t>Áudio</t>
        </is>
      </c>
      <c r="G18" s="6" t="inlineStr">
        <is>
          <t>Gerado</t>
        </is>
      </c>
      <c r="H18" s="5" t="inlineStr">
        <is>
          <t>—</t>
        </is>
      </c>
      <c r="I18" s="5" t="inlineStr"/>
      <c r="J18" s="5" t="inlineStr">
        <is>
          <t>Cuidador confirmou</t>
        </is>
      </c>
    </row>
  </sheetData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3" customWidth="1" min="4" max="4"/>
  </cols>
  <sheetData>
    <row r="2" ht="30" customHeight="1">
      <c r="B2" s="1" t="inlineStr">
        <is>
          <t>Alerta de Medicação — Dashboard de Acompanhamento</t>
        </is>
      </c>
    </row>
    <row r="4" ht="22" customHeight="1">
      <c r="B4" s="8" t="inlineStr">
        <is>
          <t>KPIs do Projeto</t>
        </is>
      </c>
    </row>
    <row r="5">
      <c r="B5" s="3" t="inlineStr">
        <is>
          <t>Indicador</t>
        </is>
      </c>
      <c r="C5" s="3" t="inlineStr">
        <is>
          <t>Valor</t>
        </is>
      </c>
    </row>
    <row r="6" ht="20" customHeight="1">
      <c r="B6" s="9" t="inlineStr">
        <is>
          <t>Total de Pacientes</t>
        </is>
      </c>
      <c r="C6" s="4">
        <f>COUNTA(Pacientes[ID])</f>
        <v/>
      </c>
    </row>
    <row r="7" ht="20" customHeight="1">
      <c r="B7" s="9" t="inlineStr">
        <is>
          <t>Alertas Cadastrados</t>
        </is>
      </c>
      <c r="C7" s="4">
        <f>COUNTA(Medicamentos[ID Alerta])</f>
        <v/>
      </c>
    </row>
    <row r="8" ht="20" customHeight="1">
      <c r="B8" s="9" t="inlineStr">
        <is>
          <t>Envios Realizados</t>
        </is>
      </c>
      <c r="C8" s="4">
        <f>COUNTA(Historico[ID Alerta])</f>
        <v/>
      </c>
    </row>
    <row r="9" ht="20" customHeight="1">
      <c r="B9" s="9" t="inlineStr">
        <is>
          <t>Envios com Falha</t>
        </is>
      </c>
      <c r="C9" s="4">
        <f>COUNTIF(Historico[Status Envio],"Falha")</f>
        <v/>
      </c>
    </row>
    <row r="10" ht="20" customHeight="1">
      <c r="B10" s="9" t="inlineStr">
        <is>
          <t>Taxa de Confirmação (%)</t>
        </is>
      </c>
      <c r="C10" s="10">
        <f>COUNTIF(Historico[Confirmado?],"Sim")/COUNTA(Historico[Confirmado?])</f>
        <v/>
      </c>
    </row>
    <row r="11" ht="20" customHeight="1">
      <c r="B11" s="9" t="inlineStr">
        <is>
          <t>Pacientes Ativos</t>
        </is>
      </c>
      <c r="C11" s="4">
        <f>COUNTIF(Pacientes[Status],"Ativo")</f>
        <v/>
      </c>
    </row>
    <row r="14" ht="22" customHeight="1">
      <c r="B14" s="8" t="inlineStr">
        <is>
          <t>Canais de Envio Utilizados</t>
        </is>
      </c>
    </row>
    <row r="15" ht="18" customHeight="1">
      <c r="B15" s="3" t="inlineStr">
        <is>
          <t>Canal</t>
        </is>
      </c>
      <c r="C15" s="3" t="inlineStr">
        <is>
          <t>Alertas Configurados</t>
        </is>
      </c>
    </row>
    <row r="16" ht="18" customHeight="1">
      <c r="B16" s="5" t="inlineStr">
        <is>
          <t>WhatsApp+SMS+Áudio</t>
        </is>
      </c>
      <c r="C16" s="4">
        <f>COUNTIF(Medicamentos[Canal],"WhatsApp+SMS+Áudio")</f>
        <v/>
      </c>
    </row>
    <row r="17" ht="18" customHeight="1">
      <c r="B17" s="5" t="inlineStr">
        <is>
          <t>WhatsApp+SMS</t>
        </is>
      </c>
      <c r="C17" s="4">
        <f>COUNTIF(Medicamentos[Canal],"WhatsApp+SMS")</f>
        <v/>
      </c>
    </row>
    <row r="18" ht="18" customHeight="1">
      <c r="B18" s="5" t="inlineStr">
        <is>
          <t>WhatsApp+Áudio</t>
        </is>
      </c>
      <c r="C18" s="4">
        <f>COUNTIF(Medicamentos[Canal],"WhatsApp+Áudio")</f>
        <v/>
      </c>
    </row>
    <row r="19" ht="18" customHeight="1">
      <c r="B19" s="5" t="inlineStr">
        <is>
          <t>WhatsApp</t>
        </is>
      </c>
      <c r="C19" s="4">
        <f>COUNTIF(Medicamentos[Canal],"WhatsApp")</f>
        <v/>
      </c>
    </row>
    <row r="20" ht="18" customHeight="1">
      <c r="B20" s="5" t="inlineStr">
        <is>
          <t>SMS</t>
        </is>
      </c>
      <c r="C20" s="4">
        <f>COUNTIF(Medicamentos[Canal],"SMS")</f>
        <v/>
      </c>
    </row>
    <row r="21" ht="18" customHeight="1">
      <c r="B21" s="5" t="inlineStr">
        <is>
          <t>Áudio</t>
        </is>
      </c>
      <c r="C21" s="4">
        <f>COUNTIF(Medicamentos[Canal],"Áudio")</f>
        <v/>
      </c>
    </row>
    <row r="23">
      <c r="B23" s="2" t="inlineStr">
        <is>
          <t>Fonte: planilha MVP | Gerado em 18/04/2026 às 15:46 | Dados simulados para fase de validação</t>
        </is>
      </c>
    </row>
  </sheetData>
  <mergeCells count="4">
    <mergeCell ref="B2:H2"/>
    <mergeCell ref="B14:D14"/>
    <mergeCell ref="B4:D4"/>
    <mergeCell ref="B23:H23"/>
  </mergeCells>
  <conditionalFormatting sqref="C16:C21">
    <cfRule type="dataBar" priority="1">
      <dataBar>
        <cfvo type="min"/>
        <cfvo type="max"/>
        <color rgb="0001696F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2026-04-18T15:46:51Z</dcterms:created>
  <dcterms:modified xmlns:dcterms="http://purl.org/dc/terms/" xmlns:xsi="http://www.w3.org/2001/XMLSchema-instance" xsi:type="dcterms:W3CDTF">2026-04-18T15:46:51Z</dcterms:modified>
</cp:coreProperties>
</file>